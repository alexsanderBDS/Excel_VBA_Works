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EstaPastaDeTrabalho" defaultThemeVersion="166925"/>
  <mc:AlternateContent xmlns:mc="http://schemas.openxmlformats.org/markup-compatibility/2006">
    <mc:Choice Requires="x15">
      <x15ac:absPath xmlns:x15ac="http://schemas.microsoft.com/office/spreadsheetml/2010/11/ac" url="C:\Users\Alexs\Desktop\Planilhas\"/>
    </mc:Choice>
  </mc:AlternateContent>
  <xr:revisionPtr revIDLastSave="0" documentId="13_ncr:1_{2205A41B-96A9-4F9D-B8CF-809FA0868E0A}" xr6:coauthVersionLast="45" xr6:coauthVersionMax="45" xr10:uidLastSave="{00000000-0000-0000-0000-000000000000}"/>
  <bookViews>
    <workbookView xWindow="-120" yWindow="-120" windowWidth="20730" windowHeight="11160" xr2:uid="{6FCA5CE2-3B47-4802-B7B4-CF5E1CB1379F}"/>
  </bookViews>
  <sheets>
    <sheet name="10" sheetId="1" r:id="rId1"/>
    <sheet name="func"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9" i="2" l="1"/>
  <c r="F18" i="2"/>
  <c r="F17" i="2"/>
  <c r="F16" i="2"/>
  <c r="F15" i="2"/>
  <c r="F14" i="2"/>
  <c r="F13" i="2"/>
  <c r="F12" i="2"/>
  <c r="F11" i="2"/>
  <c r="F10" i="2"/>
  <c r="F9" i="2"/>
  <c r="F8" i="2"/>
  <c r="F7" i="2"/>
  <c r="F6" i="2"/>
  <c r="F5" i="2"/>
  <c r="B6" i="1" l="1"/>
  <c r="C8" i="1" l="1"/>
  <c r="D8" i="1" s="1"/>
  <c r="E8" i="1" s="1"/>
  <c r="B4" i="1"/>
  <c r="F4" i="2"/>
  <c r="F3" i="2"/>
  <c r="F2" i="2"/>
  <c r="F8" i="1" l="1"/>
  <c r="G8" i="1" s="1"/>
  <c r="H8" i="1" s="1"/>
  <c r="I8" i="1" s="1"/>
  <c r="J8" i="1" s="1"/>
  <c r="K8" i="1" s="1"/>
  <c r="L8" i="1" s="1"/>
  <c r="M8" i="1" s="1"/>
  <c r="N8" i="1" s="1"/>
  <c r="O8" i="1" s="1"/>
  <c r="P8" i="1" s="1"/>
  <c r="Q8" i="1" s="1"/>
  <c r="R8" i="1" s="1"/>
  <c r="S8" i="1" s="1"/>
  <c r="T8" i="1" s="1"/>
  <c r="U8" i="1" s="1"/>
  <c r="V8" i="1" s="1"/>
  <c r="W8" i="1" s="1"/>
  <c r="X8" i="1" s="1"/>
  <c r="Y8" i="1" s="1"/>
  <c r="Z8" i="1" s="1"/>
  <c r="AA8" i="1" s="1"/>
  <c r="AB8" i="1" s="1"/>
  <c r="AC8" i="1" s="1"/>
  <c r="AD8" i="1" s="1"/>
  <c r="AE8" i="1" s="1"/>
  <c r="AF8" i="1" s="1"/>
  <c r="B5" i="1"/>
  <c r="B3" i="1" l="1"/>
  <c r="B2" i="1"/>
  <c r="B1" i="1"/>
  <c r="N4" i="1" l="1"/>
</calcChain>
</file>

<file path=xl/sharedStrings.xml><?xml version="1.0" encoding="utf-8"?>
<sst xmlns="http://schemas.openxmlformats.org/spreadsheetml/2006/main" count="32" uniqueCount="22">
  <si>
    <t>NOMES</t>
  </si>
  <si>
    <t>FUNC</t>
  </si>
  <si>
    <t>TURNO</t>
  </si>
  <si>
    <t>PRESENÇA (P)</t>
  </si>
  <si>
    <t>AUSENCIA (A)</t>
  </si>
  <si>
    <t>PRESENÇA/SÁIDA (S)</t>
  </si>
  <si>
    <t>FOLGA (F)</t>
  </si>
  <si>
    <t>SEGUNDA-FEIRA</t>
  </si>
  <si>
    <t>SÁBADO</t>
  </si>
  <si>
    <t>FÉRIAS DIAS</t>
  </si>
  <si>
    <t>FÉRIAS ÍNICIO</t>
  </si>
  <si>
    <t>FOLGA</t>
  </si>
  <si>
    <t>DOMINGO</t>
  </si>
  <si>
    <t>RETURN.FERIAS</t>
  </si>
  <si>
    <t>PERÍODO FÉRIAS (-)</t>
  </si>
  <si>
    <t>MÊS</t>
  </si>
  <si>
    <t>ANO</t>
  </si>
  <si>
    <t>HORA EXTRA (E)</t>
  </si>
  <si>
    <t>COLABORADOR 1</t>
  </si>
  <si>
    <t>COLABORADOR 2</t>
  </si>
  <si>
    <t>COLABORADOR 3</t>
  </si>
  <si>
    <t>COLABORADOR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</si>
</sst>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16]d;@"/>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8"/>
      <name val="Calibri"/>
      <family val="2"/>
      <scheme val="minor"/>
    </font>
    <font>
      <b/>
      <sz val="11"/>
      <color theme="7" tint="0.79998168889431442"/>
      <name val="Calibri"/>
      <family val="2"/>
      <scheme val="minor"/>
    </font>
    <font>
      <sz val="11"/>
      <color theme="1"/>
      <name val="Calibri"/>
      <family val="2"/>
      <scheme val="minor"/>
    </font>
    <font>
      <b/>
      <sz val="20"/>
      <color theme="1"/>
      <name val="Rockwell Extra Bold"/>
      <family val="1"/>
    </font>
  </fonts>
  <fills count="14">
    <fill>
      <patternFill patternType="none"/>
    </fill>
    <fill>
      <patternFill patternType="gray125"/>
    </fill>
    <fill>
      <gradientFill type="path" left="0.5" right="0.5" top="0.5" bottom="0.5">
        <stop position="0">
          <color theme="0"/>
        </stop>
        <stop position="1">
          <color theme="0" tint="-5.0965910824915313E-2"/>
        </stop>
      </gradientFill>
    </fill>
    <fill>
      <patternFill patternType="solid">
        <fgColor theme="1"/>
        <bgColor auto="1"/>
      </patternFill>
    </fill>
    <fill>
      <gradientFill degree="90">
        <stop position="0">
          <color theme="1"/>
        </stop>
        <stop position="1">
          <color rgb="FFFFFF00"/>
        </stop>
      </gradientFill>
    </fill>
    <fill>
      <gradientFill degree="90">
        <stop position="0">
          <color theme="1"/>
        </stop>
        <stop position="1">
          <color rgb="FFFF0000"/>
        </stop>
      </gradientFill>
    </fill>
    <fill>
      <gradientFill degree="90">
        <stop position="0">
          <color theme="9" tint="-0.49803155613879818"/>
        </stop>
        <stop position="1">
          <color rgb="FF00B050"/>
        </stop>
      </gradientFill>
    </fill>
    <fill>
      <gradientFill degree="90">
        <stop position="0">
          <color theme="4" tint="-0.49803155613879818"/>
        </stop>
        <stop position="1">
          <color rgb="FF0070C0"/>
        </stop>
      </gradientFill>
    </fill>
    <fill>
      <gradientFill degree="90">
        <stop position="0">
          <color theme="1"/>
        </stop>
        <stop position="1">
          <color theme="2" tint="-0.25098422193060094"/>
        </stop>
      </gradientFill>
    </fill>
    <fill>
      <gradientFill degree="90">
        <stop position="0">
          <color theme="0"/>
        </stop>
        <stop position="1">
          <color theme="8" tint="0.80001220740379042"/>
        </stop>
      </gradientFill>
    </fill>
    <fill>
      <gradientFill degree="90">
        <stop position="0">
          <color rgb="FF002060"/>
        </stop>
        <stop position="1">
          <color theme="4"/>
        </stop>
      </gradientFill>
    </fill>
    <fill>
      <gradientFill degree="90">
        <stop position="0">
          <color theme="0"/>
        </stop>
        <stop position="1">
          <color theme="2"/>
        </stop>
      </gradientFill>
    </fill>
    <fill>
      <gradientFill degree="90">
        <stop position="0">
          <color theme="0"/>
        </stop>
        <stop position="1">
          <color theme="3" tint="0.80001220740379042"/>
        </stop>
      </gradientFill>
    </fill>
    <fill>
      <gradientFill degree="90">
        <stop position="0">
          <color theme="1"/>
        </stop>
        <stop position="1">
          <color rgb="FFFF9933"/>
        </stop>
      </gradient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2">
    <xf numFmtId="0" fontId="0" fillId="0" borderId="0"/>
    <xf numFmtId="9" fontId="6" fillId="0" borderId="0" applyFont="0" applyFill="0" applyBorder="0" applyAlignment="0" applyProtection="0"/>
  </cellStyleXfs>
  <cellXfs count="41">
    <xf numFmtId="0" fontId="0" fillId="0" borderId="0" xfId="0"/>
    <xf numFmtId="0" fontId="0" fillId="0" borderId="1" xfId="0" applyFont="1" applyBorder="1" applyAlignment="1">
      <alignment horizontal="left" vertical="center"/>
    </xf>
    <xf numFmtId="0" fontId="0" fillId="0" borderId="0" xfId="0" applyBorder="1" applyAlignment="1">
      <alignment horizontal="center" vertical="center"/>
    </xf>
    <xf numFmtId="0" fontId="0" fillId="0" borderId="0" xfId="0" applyFont="1" applyBorder="1" applyAlignment="1">
      <alignment horizontal="center" vertical="center"/>
    </xf>
    <xf numFmtId="0" fontId="1" fillId="3" borderId="1" xfId="0" applyFont="1" applyFill="1" applyBorder="1" applyAlignment="1">
      <alignment horizontal="left" vertical="center"/>
    </xf>
    <xf numFmtId="164" fontId="1" fillId="3"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1" fillId="6" borderId="2" xfId="0" applyFont="1" applyFill="1" applyBorder="1" applyAlignment="1">
      <alignment horizontal="left" vertical="center"/>
    </xf>
    <xf numFmtId="0" fontId="1" fillId="5" borderId="3" xfId="0" applyFont="1" applyFill="1" applyBorder="1" applyAlignment="1">
      <alignment horizontal="left" vertical="center"/>
    </xf>
    <xf numFmtId="0" fontId="1" fillId="4" borderId="3" xfId="0" applyFont="1" applyFill="1" applyBorder="1" applyAlignment="1">
      <alignment horizontal="left" vertical="center"/>
    </xf>
    <xf numFmtId="0" fontId="1" fillId="7" borderId="4" xfId="0" applyFont="1" applyFill="1" applyBorder="1" applyAlignment="1">
      <alignment horizontal="left" vertical="center"/>
    </xf>
    <xf numFmtId="0" fontId="1" fillId="6" borderId="2" xfId="0" applyFont="1" applyFill="1" applyBorder="1" applyAlignment="1">
      <alignment horizontal="center" vertical="center"/>
    </xf>
    <xf numFmtId="0" fontId="1" fillId="5" borderId="3" xfId="0" applyFont="1" applyFill="1" applyBorder="1" applyAlignment="1">
      <alignment horizontal="center" vertical="center"/>
    </xf>
    <xf numFmtId="0" fontId="1" fillId="4" borderId="3" xfId="0" applyFont="1" applyFill="1" applyBorder="1" applyAlignment="1">
      <alignment horizontal="center" vertical="center"/>
    </xf>
    <xf numFmtId="0" fontId="1" fillId="7" borderId="4" xfId="0" applyFont="1" applyFill="1" applyBorder="1" applyAlignment="1">
      <alignment horizontal="center" vertical="center"/>
    </xf>
    <xf numFmtId="0" fontId="1" fillId="8" borderId="0" xfId="0" applyFont="1" applyFill="1" applyBorder="1" applyAlignment="1">
      <alignment horizontal="left" vertical="center"/>
    </xf>
    <xf numFmtId="0" fontId="1" fillId="8" borderId="4" xfId="0" applyFont="1" applyFill="1" applyBorder="1" applyAlignment="1">
      <alignment horizontal="center" vertical="center"/>
    </xf>
    <xf numFmtId="0" fontId="2" fillId="0" borderId="0" xfId="0" applyFont="1"/>
    <xf numFmtId="0" fontId="2" fillId="9" borderId="1" xfId="0" applyFont="1" applyFill="1" applyBorder="1" applyAlignment="1">
      <alignment horizontal="left" vertical="center"/>
    </xf>
    <xf numFmtId="0" fontId="2" fillId="9" borderId="1" xfId="0" applyFont="1" applyFill="1" applyBorder="1" applyAlignment="1">
      <alignment horizontal="center" vertical="center"/>
    </xf>
    <xf numFmtId="0" fontId="5" fillId="8" borderId="1" xfId="0" applyFont="1" applyFill="1" applyBorder="1" applyAlignment="1">
      <alignment horizontal="center" vertical="center"/>
    </xf>
    <xf numFmtId="0" fontId="5" fillId="10" borderId="1" xfId="0" applyFont="1" applyFill="1" applyBorder="1" applyAlignment="1">
      <alignment horizontal="center" vertical="center"/>
    </xf>
    <xf numFmtId="14" fontId="5" fillId="10" borderId="1" xfId="0" applyNumberFormat="1" applyFont="1" applyFill="1" applyBorder="1" applyAlignment="1">
      <alignment horizontal="center" vertical="center"/>
    </xf>
    <xf numFmtId="10" fontId="0" fillId="0" borderId="0" xfId="0" applyNumberFormat="1" applyBorder="1" applyAlignment="1">
      <alignment horizontal="center" vertical="center"/>
    </xf>
    <xf numFmtId="9" fontId="0" fillId="0" borderId="0" xfId="1" applyFont="1" applyBorder="1" applyAlignment="1">
      <alignment horizontal="center" vertical="center"/>
    </xf>
    <xf numFmtId="10" fontId="0" fillId="0" borderId="0" xfId="1" applyNumberFormat="1" applyFont="1" applyBorder="1" applyAlignment="1">
      <alignment horizontal="center" vertical="center"/>
    </xf>
    <xf numFmtId="0" fontId="0" fillId="0" borderId="0" xfId="0" applyNumberFormat="1" applyBorder="1" applyAlignment="1">
      <alignment horizontal="center" vertical="center"/>
    </xf>
    <xf numFmtId="0" fontId="1" fillId="13" borderId="0" xfId="0" applyFont="1" applyFill="1" applyBorder="1" applyAlignment="1">
      <alignment horizontal="left" vertical="center"/>
    </xf>
    <xf numFmtId="0" fontId="1" fillId="13" borderId="4"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10" fontId="7" fillId="12" borderId="5" xfId="0" applyNumberFormat="1" applyFont="1" applyFill="1" applyBorder="1" applyAlignment="1">
      <alignment horizontal="center" vertical="center"/>
    </xf>
    <xf numFmtId="10" fontId="7" fillId="12" borderId="6" xfId="0" applyNumberFormat="1" applyFont="1" applyFill="1" applyBorder="1" applyAlignment="1">
      <alignment horizontal="center" vertical="center"/>
    </xf>
    <xf numFmtId="10" fontId="7" fillId="12" borderId="7" xfId="0" applyNumberFormat="1" applyFont="1" applyFill="1" applyBorder="1" applyAlignment="1">
      <alignment horizontal="center" vertical="center"/>
    </xf>
    <xf numFmtId="10" fontId="7" fillId="12" borderId="11" xfId="0" applyNumberFormat="1" applyFont="1" applyFill="1" applyBorder="1" applyAlignment="1">
      <alignment horizontal="center" vertical="center"/>
    </xf>
    <xf numFmtId="10" fontId="7" fillId="12" borderId="0" xfId="0" applyNumberFormat="1" applyFont="1" applyFill="1" applyBorder="1" applyAlignment="1">
      <alignment horizontal="center" vertical="center"/>
    </xf>
    <xf numFmtId="10" fontId="7" fillId="12" borderId="12" xfId="0" applyNumberFormat="1" applyFont="1" applyFill="1" applyBorder="1" applyAlignment="1">
      <alignment horizontal="center" vertical="center"/>
    </xf>
    <xf numFmtId="10" fontId="7" fillId="12" borderId="8" xfId="0" applyNumberFormat="1" applyFont="1" applyFill="1" applyBorder="1" applyAlignment="1">
      <alignment horizontal="center" vertical="center"/>
    </xf>
    <xf numFmtId="10" fontId="7" fillId="12" borderId="9" xfId="0" applyNumberFormat="1" applyFont="1" applyFill="1" applyBorder="1" applyAlignment="1">
      <alignment horizontal="center" vertical="center"/>
    </xf>
    <xf numFmtId="10" fontId="7" fillId="12" borderId="10" xfId="0" applyNumberFormat="1" applyFont="1" applyFill="1" applyBorder="1" applyAlignment="1">
      <alignment horizontal="center" vertical="center"/>
    </xf>
    <xf numFmtId="0" fontId="2" fillId="11" borderId="1" xfId="0" applyFont="1" applyFill="1" applyBorder="1" applyAlignment="1">
      <alignment horizontal="center" vertical="center"/>
    </xf>
  </cellXfs>
  <cellStyles count="2">
    <cellStyle name="Normal" xfId="0" builtinId="0"/>
    <cellStyle name="Porcentagem" xfId="1" builtinId="5"/>
  </cellStyles>
  <dxfs count="11">
    <dxf>
      <fill>
        <gradientFill degree="90">
          <stop position="0">
            <color theme="0"/>
          </stop>
          <stop position="1">
            <color theme="8" tint="0.80001220740379042"/>
          </stop>
        </gradientFill>
      </fill>
    </dxf>
    <dxf>
      <fill>
        <gradientFill degree="90">
          <stop position="0">
            <color theme="0"/>
          </stop>
          <stop position="1">
            <color theme="5" tint="0.80001220740379042"/>
          </stop>
        </gradientFill>
      </fill>
    </dxf>
    <dxf>
      <fill>
        <gradientFill degree="90">
          <stop position="0">
            <color theme="0"/>
          </stop>
          <stop position="1">
            <color theme="9" tint="0.80001220740379042"/>
          </stop>
        </gradientFill>
      </fill>
    </dxf>
    <dxf>
      <font>
        <color theme="0"/>
      </font>
      <fill>
        <patternFill>
          <bgColor rgb="FFFF0000"/>
        </patternFill>
      </fill>
    </dxf>
    <dxf>
      <font>
        <color theme="0"/>
      </font>
      <fill>
        <patternFill>
          <bgColor rgb="FFFF0000"/>
        </patternFill>
      </fill>
    </dxf>
    <dxf>
      <font>
        <color theme="0"/>
      </font>
      <fill>
        <gradientFill degree="90">
          <stop position="0">
            <color theme="1"/>
          </stop>
          <stop position="1">
            <color rgb="FFFF9933"/>
          </stop>
        </gradientFill>
      </fill>
    </dxf>
    <dxf>
      <font>
        <color theme="0"/>
      </font>
      <fill>
        <gradientFill degree="90">
          <stop position="0">
            <color theme="1"/>
          </stop>
          <stop position="1">
            <color theme="2" tint="-9.8025452436902985E-2"/>
          </stop>
        </gradientFill>
      </fill>
    </dxf>
    <dxf>
      <font>
        <color theme="0"/>
      </font>
      <fill>
        <gradientFill degree="90">
          <stop position="0">
            <color theme="9" tint="-0.49803155613879818"/>
          </stop>
          <stop position="1">
            <color rgb="FF00B050"/>
          </stop>
        </gradientFill>
      </fill>
    </dxf>
    <dxf>
      <font>
        <color theme="0"/>
      </font>
      <fill>
        <gradientFill degree="90">
          <stop position="0">
            <color theme="1"/>
          </stop>
          <stop position="1">
            <color rgb="FFFF0000"/>
          </stop>
        </gradientFill>
      </fill>
    </dxf>
    <dxf>
      <font>
        <color theme="0"/>
      </font>
      <fill>
        <gradientFill degree="90">
          <stop position="0">
            <color theme="1"/>
          </stop>
          <stop position="1">
            <color rgb="FFFFFF00"/>
          </stop>
        </gradientFill>
      </fill>
    </dxf>
    <dxf>
      <font>
        <color theme="0"/>
      </font>
      <fill>
        <gradientFill degree="90">
          <stop position="0">
            <color rgb="FF002060"/>
          </stop>
          <stop position="1">
            <color theme="4"/>
          </stop>
        </gradientFill>
      </fill>
    </dxf>
  </dxfs>
  <tableStyles count="0" defaultTableStyle="TableStyleMedium2" defaultPivotStyle="PivotStyleLight16"/>
  <colors>
    <mruColors>
      <color rgb="FFFF9933"/>
      <color rgb="FFFF6600"/>
      <color rgb="FFFF8B8B"/>
      <color rgb="FFFFFF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bg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effectLst>
                      <a:glow rad="228600">
                        <a:schemeClr val="accent4">
                          <a:satMod val="175000"/>
                          <a:alpha val="40000"/>
                        </a:schemeClr>
                      </a:glow>
                      <a:reflection blurRad="6350" stA="55000" endA="300" endPos="45500" dir="5400000" sy="-100000" algn="bl" rotWithShape="0"/>
                    </a:effectLst>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'10'!$A$1:$A$4</c:f>
              <c:strCache>
                <c:ptCount val="4"/>
                <c:pt idx="0">
                  <c:v>PRESENÇA (P)</c:v>
                </c:pt>
                <c:pt idx="1">
                  <c:v>AUSENCIA (A)</c:v>
                </c:pt>
                <c:pt idx="2">
                  <c:v>PRESENÇA/SÁIDA (S)</c:v>
                </c:pt>
                <c:pt idx="3">
                  <c:v>PERÍODO FÉRIAS (-)</c:v>
                </c:pt>
              </c:strCache>
            </c:strRef>
          </c:cat>
          <c:val>
            <c:numRef>
              <c:f>'10'!$B$1:$B$4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0230-44D4-BF01-A1045F1B7A14}"/>
            </c:ext>
          </c:extLst>
        </c:ser>
        <c:dLbls>
          <c:showLegendKey val="0"/>
          <c:showVal val="0"/>
          <c:showCatName val="0"/>
          <c:showSerName val="0"/>
          <c:showPercent val="0"/>
          <c:showBubbleSize val="0"/>
        </c:dLbls>
        <c:smooth val="0"/>
        <c:axId val="1306863184"/>
        <c:axId val="1299723360"/>
      </c:lineChart>
      <c:catAx>
        <c:axId val="1306863184"/>
        <c:scaling>
          <c:orientation val="minMax"/>
        </c:scaling>
        <c:delete val="1"/>
        <c:axPos val="b"/>
        <c:numFmt formatCode="General" sourceLinked="1"/>
        <c:majorTickMark val="none"/>
        <c:minorTickMark val="none"/>
        <c:tickLblPos val="nextTo"/>
        <c:crossAx val="1299723360"/>
        <c:crosses val="autoZero"/>
        <c:auto val="1"/>
        <c:lblAlgn val="ctr"/>
        <c:lblOffset val="100"/>
        <c:noMultiLvlLbl val="0"/>
      </c:catAx>
      <c:valAx>
        <c:axId val="12997233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pt-BR"/>
          </a:p>
        </c:txPr>
        <c:crossAx val="1306863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76206</xdr:colOff>
      <xdr:row>0</xdr:row>
      <xdr:rowOff>0</xdr:rowOff>
    </xdr:from>
    <xdr:to>
      <xdr:col>12</xdr:col>
      <xdr:colOff>28575</xdr:colOff>
      <xdr:row>6</xdr:row>
      <xdr:rowOff>9525</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26</xdr:col>
          <xdr:colOff>171450</xdr:colOff>
          <xdr:row>5</xdr:row>
          <xdr:rowOff>152400</xdr:rowOff>
        </xdr:from>
        <xdr:to>
          <xdr:col>31</xdr:col>
          <xdr:colOff>228600</xdr:colOff>
          <xdr:row>6</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Auto Atualizar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5</xdr:row>
          <xdr:rowOff>152400</xdr:rowOff>
        </xdr:from>
        <xdr:to>
          <xdr:col>26</xdr:col>
          <xdr:colOff>104775</xdr:colOff>
          <xdr:row>6</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Deletar Valores</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1606F-E4CD-4A74-A00F-21050FCA91E3}">
  <sheetPr codeName="Planilha1">
    <tabColor theme="1"/>
  </sheetPr>
  <dimension ref="A1:AH19"/>
  <sheetViews>
    <sheetView tabSelected="1" zoomScaleNormal="100" workbookViewId="0">
      <pane xSplit="1" ySplit="8" topLeftCell="B9" activePane="bottomRight" state="frozenSplit"/>
      <selection pane="topRight" activeCell="B1" sqref="B1"/>
      <selection pane="bottomLeft" activeCell="A2" sqref="A2"/>
      <selection pane="bottomRight" activeCell="P10" sqref="P10"/>
    </sheetView>
  </sheetViews>
  <sheetFormatPr defaultRowHeight="17.25" customHeight="1" x14ac:dyDescent="0.25"/>
  <cols>
    <col min="1" max="1" width="27.5703125" style="30" customWidth="1"/>
    <col min="2" max="32" width="3.7109375" style="29" customWidth="1"/>
    <col min="33" max="33" width="10.140625" style="2" bestFit="1" customWidth="1"/>
    <col min="34" max="16384" width="9.140625" style="2"/>
  </cols>
  <sheetData>
    <row r="1" spans="1:34" ht="17.25" customHeight="1" x14ac:dyDescent="0.25">
      <c r="A1" s="7" t="s">
        <v>3</v>
      </c>
      <c r="B1" s="11">
        <f>COUNTIF($B$9:$AF$12,"P")</f>
        <v>0</v>
      </c>
      <c r="C1" s="2"/>
      <c r="D1" s="2"/>
      <c r="E1" s="2"/>
      <c r="F1" s="2"/>
      <c r="G1" s="2"/>
      <c r="H1" s="2"/>
      <c r="I1" s="2"/>
      <c r="J1" s="2"/>
      <c r="K1" s="2"/>
      <c r="L1" s="2"/>
      <c r="M1" s="2"/>
      <c r="N1" s="40" t="s">
        <v>16</v>
      </c>
      <c r="O1" s="40"/>
      <c r="P1" s="40"/>
      <c r="Q1" s="40"/>
      <c r="R1" s="40">
        <v>2020</v>
      </c>
      <c r="S1" s="40"/>
      <c r="T1" s="2"/>
      <c r="U1" s="2"/>
      <c r="V1" s="2"/>
      <c r="W1" s="2"/>
      <c r="X1" s="2"/>
      <c r="Y1" s="2"/>
      <c r="Z1" s="2"/>
      <c r="AA1" s="2"/>
      <c r="AB1" s="2"/>
      <c r="AC1" s="2"/>
      <c r="AD1" s="2"/>
      <c r="AE1" s="2"/>
      <c r="AF1" s="2"/>
      <c r="AG1" s="25"/>
      <c r="AH1" s="26"/>
    </row>
    <row r="2" spans="1:34" ht="17.25" customHeight="1" x14ac:dyDescent="0.25">
      <c r="A2" s="8" t="s">
        <v>4</v>
      </c>
      <c r="B2" s="12">
        <f>COUNTIF($B$9:$AF$12,"A")</f>
        <v>0</v>
      </c>
      <c r="C2" s="2"/>
      <c r="D2" s="2"/>
      <c r="E2" s="2"/>
      <c r="F2" s="2"/>
      <c r="G2" s="2"/>
      <c r="H2" s="2"/>
      <c r="I2" s="2"/>
      <c r="J2" s="2"/>
      <c r="K2" s="2"/>
      <c r="L2" s="2"/>
      <c r="M2" s="2"/>
      <c r="N2" s="40" t="s">
        <v>15</v>
      </c>
      <c r="O2" s="40"/>
      <c r="P2" s="40"/>
      <c r="Q2" s="40"/>
      <c r="R2" s="40">
        <v>10</v>
      </c>
      <c r="S2" s="40"/>
      <c r="T2" s="2"/>
      <c r="U2" s="2"/>
      <c r="V2" s="2"/>
      <c r="W2" s="2"/>
      <c r="X2" s="2"/>
      <c r="Y2" s="2"/>
      <c r="Z2" s="2"/>
      <c r="AA2" s="2"/>
      <c r="AB2" s="2"/>
      <c r="AC2" s="2"/>
      <c r="AD2" s="2"/>
      <c r="AE2" s="2"/>
      <c r="AF2" s="2"/>
      <c r="AG2" s="25"/>
      <c r="AH2" s="23"/>
    </row>
    <row r="3" spans="1:34" ht="17.25" customHeight="1" thickBot="1" x14ac:dyDescent="0.3">
      <c r="A3" s="9" t="s">
        <v>5</v>
      </c>
      <c r="B3" s="13">
        <f>COUNTIF($B$9:$AF$12,"S")</f>
        <v>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4"/>
    </row>
    <row r="4" spans="1:34" ht="17.25" customHeight="1" thickBot="1" x14ac:dyDescent="0.3">
      <c r="A4" s="10" t="s">
        <v>14</v>
      </c>
      <c r="B4" s="14">
        <f>COUNTIF($B$9:$AF$12,"-")</f>
        <v>0</v>
      </c>
      <c r="C4" s="2"/>
      <c r="D4" s="2"/>
      <c r="E4" s="2"/>
      <c r="F4" s="2"/>
      <c r="G4" s="2"/>
      <c r="H4" s="2"/>
      <c r="I4" s="2"/>
      <c r="J4" s="2"/>
      <c r="K4" s="2"/>
      <c r="L4" s="2"/>
      <c r="M4" s="2"/>
      <c r="N4" s="31" t="str">
        <f>IFERROR(100%-($B$4+$B$2)/($B$1+$B$6),"00,00%")</f>
        <v>00,00%</v>
      </c>
      <c r="O4" s="32"/>
      <c r="P4" s="32"/>
      <c r="Q4" s="32"/>
      <c r="R4" s="32"/>
      <c r="S4" s="33"/>
      <c r="T4" s="2"/>
      <c r="U4" s="2"/>
      <c r="V4" s="2"/>
      <c r="W4" s="2"/>
      <c r="X4" s="2"/>
      <c r="Y4" s="2"/>
      <c r="Z4" s="2"/>
      <c r="AA4" s="2"/>
      <c r="AB4" s="2"/>
      <c r="AC4" s="2"/>
      <c r="AD4" s="2"/>
      <c r="AE4" s="2"/>
      <c r="AF4" s="2"/>
      <c r="AH4" s="23"/>
    </row>
    <row r="5" spans="1:34" ht="17.25" customHeight="1" thickBot="1" x14ac:dyDescent="0.3">
      <c r="A5" s="15" t="s">
        <v>6</v>
      </c>
      <c r="B5" s="16">
        <f>COUNTIF($B$9:$AF$12,"F")</f>
        <v>0</v>
      </c>
      <c r="C5" s="2"/>
      <c r="D5" s="2"/>
      <c r="E5" s="2"/>
      <c r="F5" s="2"/>
      <c r="G5" s="2"/>
      <c r="H5" s="2"/>
      <c r="I5" s="2"/>
      <c r="J5" s="2"/>
      <c r="K5" s="2"/>
      <c r="L5" s="2"/>
      <c r="M5" s="2"/>
      <c r="N5" s="34"/>
      <c r="O5" s="35"/>
      <c r="P5" s="35"/>
      <c r="Q5" s="35"/>
      <c r="R5" s="35"/>
      <c r="S5" s="36"/>
      <c r="T5" s="2"/>
      <c r="U5" s="2"/>
      <c r="V5" s="2"/>
      <c r="W5" s="2"/>
      <c r="X5" s="2"/>
      <c r="Y5" s="2"/>
      <c r="Z5" s="2"/>
      <c r="AA5" s="2"/>
      <c r="AB5" s="2"/>
      <c r="AC5" s="2"/>
      <c r="AD5" s="2"/>
      <c r="AE5" s="2"/>
      <c r="AF5" s="2"/>
      <c r="AH5" s="23"/>
    </row>
    <row r="6" spans="1:34" ht="17.25" customHeight="1" thickBot="1" x14ac:dyDescent="0.3">
      <c r="A6" s="27" t="s">
        <v>17</v>
      </c>
      <c r="B6" s="28">
        <f>COUNTIF($B$9:$AF$12,"E")</f>
        <v>0</v>
      </c>
      <c r="C6" s="2"/>
      <c r="D6" s="2"/>
      <c r="E6" s="2"/>
      <c r="F6" s="2"/>
      <c r="G6" s="2"/>
      <c r="H6" s="2"/>
      <c r="I6" s="2"/>
      <c r="J6" s="2"/>
      <c r="K6" s="2"/>
      <c r="L6" s="2"/>
      <c r="M6" s="2"/>
      <c r="N6" s="37"/>
      <c r="O6" s="38"/>
      <c r="P6" s="38"/>
      <c r="Q6" s="38"/>
      <c r="R6" s="38"/>
      <c r="S6" s="39"/>
      <c r="T6" s="2"/>
      <c r="U6" s="2"/>
      <c r="V6" s="2"/>
      <c r="W6" s="2"/>
      <c r="X6" s="2"/>
      <c r="Y6" s="2"/>
      <c r="Z6" s="2"/>
      <c r="AA6" s="2"/>
      <c r="AB6" s="2"/>
      <c r="AC6" s="2"/>
      <c r="AD6" s="2"/>
      <c r="AE6" s="2"/>
      <c r="AF6" s="2"/>
      <c r="AH6" s="23"/>
    </row>
    <row r="7" spans="1:34" ht="17.25" customHeight="1" x14ac:dyDescent="0.25">
      <c r="A7" s="3"/>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row>
    <row r="8" spans="1:34" ht="17.25" customHeight="1" x14ac:dyDescent="0.25">
      <c r="A8" s="4" t="s">
        <v>0</v>
      </c>
      <c r="B8" s="5">
        <v>44105</v>
      </c>
      <c r="C8" s="5">
        <f>IFERROR(IF(DAY(B8+1)&lt;DAY(B8),"-",B8+1),"-")</f>
        <v>44106</v>
      </c>
      <c r="D8" s="5">
        <f t="shared" ref="D8:AF8" si="0">IFERROR(IF(DAY(C8+1)&lt;DAY(C8),"-",C8+1),"-")</f>
        <v>44107</v>
      </c>
      <c r="E8" s="5">
        <f t="shared" si="0"/>
        <v>44108</v>
      </c>
      <c r="F8" s="5">
        <f t="shared" si="0"/>
        <v>44109</v>
      </c>
      <c r="G8" s="5">
        <f t="shared" si="0"/>
        <v>44110</v>
      </c>
      <c r="H8" s="5">
        <f t="shared" si="0"/>
        <v>44111</v>
      </c>
      <c r="I8" s="5">
        <f t="shared" si="0"/>
        <v>44112</v>
      </c>
      <c r="J8" s="5">
        <f t="shared" si="0"/>
        <v>44113</v>
      </c>
      <c r="K8" s="5">
        <f t="shared" si="0"/>
        <v>44114</v>
      </c>
      <c r="L8" s="5">
        <f t="shared" si="0"/>
        <v>44115</v>
      </c>
      <c r="M8" s="5">
        <f t="shared" si="0"/>
        <v>44116</v>
      </c>
      <c r="N8" s="5">
        <f t="shared" si="0"/>
        <v>44117</v>
      </c>
      <c r="O8" s="5">
        <f t="shared" si="0"/>
        <v>44118</v>
      </c>
      <c r="P8" s="5">
        <f t="shared" si="0"/>
        <v>44119</v>
      </c>
      <c r="Q8" s="5">
        <f t="shared" si="0"/>
        <v>44120</v>
      </c>
      <c r="R8" s="5">
        <f t="shared" si="0"/>
        <v>44121</v>
      </c>
      <c r="S8" s="5">
        <f t="shared" si="0"/>
        <v>44122</v>
      </c>
      <c r="T8" s="5">
        <f t="shared" si="0"/>
        <v>44123</v>
      </c>
      <c r="U8" s="5">
        <f t="shared" si="0"/>
        <v>44124</v>
      </c>
      <c r="V8" s="5">
        <f t="shared" si="0"/>
        <v>44125</v>
      </c>
      <c r="W8" s="5">
        <f t="shared" si="0"/>
        <v>44126</v>
      </c>
      <c r="X8" s="5">
        <f t="shared" si="0"/>
        <v>44127</v>
      </c>
      <c r="Y8" s="5">
        <f t="shared" si="0"/>
        <v>44128</v>
      </c>
      <c r="Z8" s="5">
        <f t="shared" si="0"/>
        <v>44129</v>
      </c>
      <c r="AA8" s="5">
        <f t="shared" si="0"/>
        <v>44130</v>
      </c>
      <c r="AB8" s="5">
        <f t="shared" si="0"/>
        <v>44131</v>
      </c>
      <c r="AC8" s="5">
        <f t="shared" si="0"/>
        <v>44132</v>
      </c>
      <c r="AD8" s="5">
        <f t="shared" si="0"/>
        <v>44133</v>
      </c>
      <c r="AE8" s="5">
        <f t="shared" si="0"/>
        <v>44134</v>
      </c>
      <c r="AF8" s="5">
        <f t="shared" si="0"/>
        <v>44135</v>
      </c>
    </row>
    <row r="9" spans="1:34" ht="17.25" customHeight="1" x14ac:dyDescent="0.25">
      <c r="A9" s="1" t="s">
        <v>18</v>
      </c>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row>
    <row r="10" spans="1:34" ht="17.25" customHeight="1" x14ac:dyDescent="0.25">
      <c r="A10" s="1" t="s">
        <v>19</v>
      </c>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row>
    <row r="11" spans="1:34" ht="17.25" customHeight="1" x14ac:dyDescent="0.25">
      <c r="A11" s="1" t="s">
        <v>20</v>
      </c>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row>
    <row r="12" spans="1:34" ht="17.25" customHeight="1" x14ac:dyDescent="0.25">
      <c r="A12" s="1" t="s">
        <v>21</v>
      </c>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row>
    <row r="13" spans="1:34" ht="17.25" customHeight="1" x14ac:dyDescent="0.25">
      <c r="A13" s="1"/>
    </row>
    <row r="14" spans="1:34" ht="17.25" customHeight="1" x14ac:dyDescent="0.25">
      <c r="A14" s="1"/>
    </row>
    <row r="15" spans="1:34" ht="17.25" customHeight="1" x14ac:dyDescent="0.25">
      <c r="A15" s="1"/>
    </row>
    <row r="16" spans="1:34" ht="17.25" customHeight="1" x14ac:dyDescent="0.25">
      <c r="A16" s="1"/>
    </row>
    <row r="17" spans="1:1" ht="17.25" customHeight="1" x14ac:dyDescent="0.25">
      <c r="A17" s="1"/>
    </row>
    <row r="18" spans="1:1" ht="17.25" customHeight="1" x14ac:dyDescent="0.25">
      <c r="A18" s="1"/>
    </row>
    <row r="19" spans="1:1" ht="17.25" customHeight="1" x14ac:dyDescent="0.25">
      <c r="A19" s="1"/>
    </row>
  </sheetData>
  <mergeCells count="5">
    <mergeCell ref="N4:S6"/>
    <mergeCell ref="N1:Q1"/>
    <mergeCell ref="N2:Q2"/>
    <mergeCell ref="R1:S1"/>
    <mergeCell ref="R2:S2"/>
  </mergeCells>
  <conditionalFormatting sqref="B9:AF12">
    <cfRule type="expression" dxfId="10" priority="5">
      <formula>OR(B9="-")</formula>
    </cfRule>
    <cfRule type="expression" dxfId="9" priority="6">
      <formula>OR(B9="s",B9="S")</formula>
    </cfRule>
    <cfRule type="expression" dxfId="8" priority="7">
      <formula>OR(B9="a",B9="A")</formula>
    </cfRule>
    <cfRule type="expression" dxfId="7" priority="8">
      <formula>OR(B9="p",B9="P")</formula>
    </cfRule>
  </conditionalFormatting>
  <conditionalFormatting sqref="B9:AF12">
    <cfRule type="expression" dxfId="6" priority="4">
      <formula>OR(B9="f",B9="F")</formula>
    </cfRule>
  </conditionalFormatting>
  <conditionalFormatting sqref="B9:AF12">
    <cfRule type="expression" dxfId="5" priority="3">
      <formula>OR(B9="e",B9="E")</formula>
    </cfRule>
  </conditionalFormatting>
  <conditionalFormatting sqref="B8">
    <cfRule type="expression" dxfId="4" priority="2">
      <formula>OR(TEXT(B8,"ddd")="sáb",TEXT(B8,"ddd")="dom")</formula>
    </cfRule>
  </conditionalFormatting>
  <conditionalFormatting sqref="C8:AF8">
    <cfRule type="expression" dxfId="3" priority="1">
      <formula>OR(TEXT(C8,"ddd")="sáb",TEXT(C8,"ddd")="dom")</formula>
    </cfRule>
  </conditionalFormatting>
  <dataValidations count="1">
    <dataValidation type="list" allowBlank="1" showDropDown="1" showErrorMessage="1" errorTitle="Aviso." error="Valor Inválido!" sqref="B9:AF12" xr:uid="{1322953A-50B8-425D-884F-EE597D290638}">
      <formula1>"P,A,S,F,p,a,s,f,-,E,e"</formula1>
    </dataValidation>
  </dataValidations>
  <printOptions horizontalCentered="1" verticalCentered="1"/>
  <pageMargins left="0.51181102362204722" right="0.51181102362204722" top="0.78740157480314965" bottom="0.78740157480314965" header="0.31496062992125984" footer="0.31496062992125984"/>
  <pageSetup paperSize="9" scale="90" orientation="landscape" horizontalDpi="300" verticalDpi="300" r:id="rId1"/>
  <headerFooter>
    <oddHeader>&amp;C&amp;"-,Negrito"&amp;20Absenteísmo</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tualizar">
                <anchor moveWithCells="1" sizeWithCells="1">
                  <from>
                    <xdr:col>26</xdr:col>
                    <xdr:colOff>171450</xdr:colOff>
                    <xdr:row>5</xdr:row>
                    <xdr:rowOff>152400</xdr:rowOff>
                  </from>
                  <to>
                    <xdr:col>31</xdr:col>
                    <xdr:colOff>228600</xdr:colOff>
                    <xdr:row>6</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detelarValores">
                <anchor moveWithCells="1" sizeWithCells="1">
                  <from>
                    <xdr:col>21</xdr:col>
                    <xdr:colOff>47625</xdr:colOff>
                    <xdr:row>5</xdr:row>
                    <xdr:rowOff>152400</xdr:rowOff>
                  </from>
                  <to>
                    <xdr:col>26</xdr:col>
                    <xdr:colOff>104775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 id="{0FE44643-8B02-4A64-A4D1-04A85B74D75C}">
            <xm:f>VLOOKUP($A9,func!$A:$B,2,0)=3</xm:f>
            <x14:dxf>
              <fill>
                <gradientFill degree="90">
                  <stop position="0">
                    <color theme="0"/>
                  </stop>
                  <stop position="1">
                    <color theme="9" tint="0.80001220740379042"/>
                  </stop>
                </gradientFill>
              </fill>
            </x14:dxf>
          </x14:cfRule>
          <x14:cfRule type="expression" priority="16" id="{1465D918-516F-40E4-8E16-8DA3560320DA}">
            <xm:f>VLOOKUP($A9,func!$A:$B,2,0)=2</xm:f>
            <x14:dxf>
              <fill>
                <gradientFill degree="90">
                  <stop position="0">
                    <color theme="0"/>
                  </stop>
                  <stop position="1">
                    <color theme="5" tint="0.80001220740379042"/>
                  </stop>
                </gradientFill>
              </fill>
            </x14:dxf>
          </x14:cfRule>
          <x14:cfRule type="expression" priority="17" id="{B9937EE5-19B4-4FE8-AEE1-060A65167BDF}">
            <xm:f>VLOOKUP($A9,func!$A:$B,2,0)=1</xm:f>
            <x14:dxf>
              <fill>
                <gradientFill degree="90">
                  <stop position="0">
                    <color theme="0"/>
                  </stop>
                  <stop position="1">
                    <color theme="8" tint="0.80001220740379042"/>
                  </stop>
                </gradientFill>
              </fill>
            </x14:dxf>
          </x14:cfRule>
          <xm:sqref>A9:A19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4A1AE43-B67F-44AE-8D3D-326758603E34}">
          <x14:formula1>
            <xm:f>func!$A$2:$A$5</xm:f>
          </x14:formula1>
          <xm:sqref>A999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EEF5-68EE-494C-AE11-FB4519CA9BDE}">
  <sheetPr codeName="Planilha2">
    <tabColor theme="6"/>
  </sheetPr>
  <dimension ref="A1:G24"/>
  <sheetViews>
    <sheetView workbookViewId="0">
      <pane xSplit="2" ySplit="1" topLeftCell="C2" activePane="bottomRight" state="frozenSplit"/>
      <selection pane="topRight" activeCell="C1" sqref="C1"/>
      <selection pane="bottomLeft" activeCell="A2" sqref="A2"/>
      <selection pane="bottomRight" activeCell="A6" sqref="A6"/>
    </sheetView>
  </sheetViews>
  <sheetFormatPr defaultRowHeight="17.25" customHeight="1" x14ac:dyDescent="0.25"/>
  <cols>
    <col min="1" max="1" width="22.140625" style="18" bestFit="1" customWidth="1"/>
    <col min="2" max="2" width="9.140625" style="19"/>
    <col min="3" max="4" width="16.28515625" style="20" customWidth="1"/>
    <col min="5" max="6" width="15.42578125" style="21" customWidth="1"/>
    <col min="7" max="7" width="11.5703125" style="21" bestFit="1" customWidth="1"/>
    <col min="8" max="10" width="9.140625" style="17"/>
    <col min="11" max="11" width="13.42578125" style="17" bestFit="1" customWidth="1"/>
    <col min="12" max="16384" width="9.140625" style="17"/>
  </cols>
  <sheetData>
    <row r="1" spans="1:7" ht="17.25" customHeight="1" x14ac:dyDescent="0.25">
      <c r="A1" s="18" t="s">
        <v>1</v>
      </c>
      <c r="B1" s="19" t="s">
        <v>2</v>
      </c>
      <c r="C1" s="20" t="s">
        <v>11</v>
      </c>
      <c r="D1" s="20" t="s">
        <v>11</v>
      </c>
      <c r="E1" s="21" t="s">
        <v>10</v>
      </c>
      <c r="F1" s="21" t="s">
        <v>13</v>
      </c>
      <c r="G1" s="21" t="s">
        <v>9</v>
      </c>
    </row>
    <row r="2" spans="1:7" ht="17.25" customHeight="1" x14ac:dyDescent="0.25">
      <c r="A2" s="18" t="s">
        <v>18</v>
      </c>
      <c r="B2" s="19">
        <v>1</v>
      </c>
      <c r="C2" s="20" t="s">
        <v>8</v>
      </c>
      <c r="D2" s="20" t="s">
        <v>12</v>
      </c>
      <c r="E2" s="22">
        <v>44099</v>
      </c>
      <c r="F2" s="22">
        <f t="shared" ref="F2:F19" si="0">E2+G2</f>
        <v>44119</v>
      </c>
      <c r="G2" s="21">
        <v>20</v>
      </c>
    </row>
    <row r="3" spans="1:7" ht="17.25" customHeight="1" x14ac:dyDescent="0.25">
      <c r="A3" s="18" t="s">
        <v>19</v>
      </c>
      <c r="B3" s="19">
        <v>1</v>
      </c>
      <c r="C3" s="20" t="s">
        <v>8</v>
      </c>
      <c r="D3" s="20" t="s">
        <v>12</v>
      </c>
      <c r="E3" s="22">
        <v>44136</v>
      </c>
      <c r="F3" s="22">
        <f t="shared" si="0"/>
        <v>44166</v>
      </c>
      <c r="G3" s="21">
        <v>30</v>
      </c>
    </row>
    <row r="4" spans="1:7" ht="17.25" customHeight="1" x14ac:dyDescent="0.25">
      <c r="A4" s="18" t="s">
        <v>20</v>
      </c>
      <c r="B4" s="19">
        <v>2</v>
      </c>
      <c r="C4" s="20" t="s">
        <v>12</v>
      </c>
      <c r="D4" s="20" t="s">
        <v>7</v>
      </c>
      <c r="E4" s="22">
        <v>43952</v>
      </c>
      <c r="F4" s="22">
        <f t="shared" si="0"/>
        <v>43972</v>
      </c>
      <c r="G4" s="21">
        <v>20</v>
      </c>
    </row>
    <row r="5" spans="1:7" ht="17.25" customHeight="1" x14ac:dyDescent="0.25">
      <c r="A5" s="18" t="s">
        <v>21</v>
      </c>
      <c r="B5" s="19">
        <v>2</v>
      </c>
      <c r="C5" s="20" t="s">
        <v>12</v>
      </c>
      <c r="D5" s="20" t="s">
        <v>7</v>
      </c>
      <c r="E5" s="22">
        <v>43831</v>
      </c>
      <c r="F5" s="22">
        <f t="shared" si="0"/>
        <v>43851</v>
      </c>
      <c r="G5" s="21">
        <v>20</v>
      </c>
    </row>
    <row r="6" spans="1:7" ht="17.25" customHeight="1" x14ac:dyDescent="0.25">
      <c r="E6" s="22"/>
      <c r="F6" s="22">
        <f t="shared" si="0"/>
        <v>0</v>
      </c>
    </row>
    <row r="7" spans="1:7" ht="17.25" customHeight="1" x14ac:dyDescent="0.25">
      <c r="E7" s="22"/>
      <c r="F7" s="22">
        <f t="shared" si="0"/>
        <v>0</v>
      </c>
    </row>
    <row r="8" spans="1:7" ht="17.25" customHeight="1" x14ac:dyDescent="0.25">
      <c r="E8" s="22"/>
      <c r="F8" s="22">
        <f t="shared" si="0"/>
        <v>0</v>
      </c>
    </row>
    <row r="9" spans="1:7" ht="17.25" customHeight="1" x14ac:dyDescent="0.25">
      <c r="E9" s="22"/>
      <c r="F9" s="22">
        <f t="shared" si="0"/>
        <v>0</v>
      </c>
    </row>
    <row r="10" spans="1:7" ht="17.25" customHeight="1" x14ac:dyDescent="0.25">
      <c r="E10" s="22"/>
      <c r="F10" s="22">
        <f t="shared" si="0"/>
        <v>0</v>
      </c>
    </row>
    <row r="11" spans="1:7" ht="17.25" customHeight="1" x14ac:dyDescent="0.25">
      <c r="E11" s="22"/>
      <c r="F11" s="22">
        <f t="shared" si="0"/>
        <v>0</v>
      </c>
    </row>
    <row r="12" spans="1:7" ht="17.25" customHeight="1" x14ac:dyDescent="0.25">
      <c r="E12" s="22"/>
      <c r="F12" s="22">
        <f t="shared" si="0"/>
        <v>0</v>
      </c>
    </row>
    <row r="13" spans="1:7" ht="17.25" customHeight="1" x14ac:dyDescent="0.25">
      <c r="E13" s="22"/>
      <c r="F13" s="22">
        <f t="shared" si="0"/>
        <v>0</v>
      </c>
    </row>
    <row r="14" spans="1:7" ht="17.25" customHeight="1" x14ac:dyDescent="0.25">
      <c r="E14" s="22"/>
      <c r="F14" s="22">
        <f t="shared" si="0"/>
        <v>0</v>
      </c>
    </row>
    <row r="15" spans="1:7" ht="17.25" customHeight="1" x14ac:dyDescent="0.25">
      <c r="E15" s="22"/>
      <c r="F15" s="22">
        <f t="shared" si="0"/>
        <v>0</v>
      </c>
    </row>
    <row r="16" spans="1:7" ht="17.25" customHeight="1" x14ac:dyDescent="0.25">
      <c r="E16" s="22"/>
      <c r="F16" s="22">
        <f t="shared" si="0"/>
        <v>0</v>
      </c>
    </row>
    <row r="17" spans="5:6" ht="17.25" customHeight="1" x14ac:dyDescent="0.25">
      <c r="E17" s="22"/>
      <c r="F17" s="22">
        <f t="shared" si="0"/>
        <v>0</v>
      </c>
    </row>
    <row r="18" spans="5:6" ht="17.25" customHeight="1" x14ac:dyDescent="0.25">
      <c r="E18" s="22"/>
      <c r="F18" s="22">
        <f t="shared" si="0"/>
        <v>0</v>
      </c>
    </row>
    <row r="19" spans="5:6" ht="17.25" customHeight="1" x14ac:dyDescent="0.25">
      <c r="E19" s="22"/>
      <c r="F19" s="22">
        <f t="shared" si="0"/>
        <v>0</v>
      </c>
    </row>
    <row r="20" spans="5:6" ht="17.25" customHeight="1" x14ac:dyDescent="0.25">
      <c r="E20" s="22"/>
    </row>
    <row r="21" spans="5:6" ht="17.25" customHeight="1" x14ac:dyDescent="0.25">
      <c r="E21" s="22"/>
    </row>
    <row r="22" spans="5:6" ht="17.25" customHeight="1" x14ac:dyDescent="0.25">
      <c r="E22" s="22"/>
    </row>
    <row r="23" spans="5:6" ht="17.25" customHeight="1" x14ac:dyDescent="0.25">
      <c r="E23" s="22"/>
    </row>
    <row r="24" spans="5:6" ht="17.25" customHeight="1" x14ac:dyDescent="0.25">
      <c r="E24" s="22"/>
    </row>
  </sheetData>
  <phoneticPr fontId="4" type="noConversion"/>
  <dataValidations count="1">
    <dataValidation type="list" allowBlank="1" showInputMessage="1" showErrorMessage="1" errorTitle="Aviso." error="Valor Inválido!" promptTitle="Obs." prompt="Escolha o dia da semana." sqref="C2:D80" xr:uid="{17DDA423-2109-421F-9615-C860A3418CFC}">
      <formula1>"DOMINGO,SEGUNDA-FEIRA,TERÇA-FEIRA,QUARTA-FEIRA,QUINTA-FEIRA,SEXTA-FEIRA,SÁBADO"</formula1>
    </dataValidation>
  </dataValidations>
  <pageMargins left="0.511811024" right="0.511811024" top="0.78740157499999996" bottom="0.78740157499999996" header="0.31496062000000002" footer="0.314960620000000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10</vt:lpstr>
      <vt:lpstr>func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Alexsander Batista Dos Santos</dc:creator>
  <cp:lastModifiedBy>Alexsander Batista Dos Santos</cp:lastModifiedBy>
  <cp:lastPrinted>2020-06-05T13:08:15Z</cp:lastPrinted>
  <dcterms:created xsi:type="dcterms:W3CDTF">2020-06-02T19:05:26Z</dcterms:created>
  <dcterms:modified xsi:type="dcterms:W3CDTF">2020-11-04T03:15:08Z</dcterms:modified>
</cp:coreProperties>
</file>